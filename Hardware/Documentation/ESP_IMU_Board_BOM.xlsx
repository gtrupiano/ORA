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ORA\Hardware\Documentation\"/>
    </mc:Choice>
  </mc:AlternateContent>
  <xr:revisionPtr revIDLastSave="0" documentId="13_ncr:1_{278926C0-621C-4F9F-BC92-7B3CB319E766}" xr6:coauthVersionLast="47" xr6:coauthVersionMax="47" xr10:uidLastSave="{00000000-0000-0000-0000-000000000000}"/>
  <bookViews>
    <workbookView xWindow="-120" yWindow="-120" windowWidth="29040" windowHeight="15720" xr2:uid="{816A1135-95D1-CA46-8F76-FE45BE9CB508}"/>
  </bookViews>
  <sheets>
    <sheet name="ESP_IMU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11" i="1"/>
  <c r="H12" i="1"/>
  <c r="H29" i="1"/>
  <c r="H13" i="1"/>
  <c r="H16" i="1"/>
  <c r="H17" i="1"/>
  <c r="H18" i="1"/>
  <c r="H19" i="1"/>
  <c r="H20" i="1"/>
  <c r="H26" i="1"/>
  <c r="H27" i="1"/>
  <c r="H28" i="1"/>
  <c r="H15" i="1"/>
  <c r="H14" i="1"/>
  <c r="H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</author>
  </authors>
  <commentList>
    <comment ref="G10" authorId="0" shapeId="0" xr:uid="{AF85A7AA-7D37-4499-AA52-B52E8AC4D249}">
      <text>
        <r>
          <rPr>
            <b/>
            <sz val="9"/>
            <color indexed="81"/>
            <rFont val="Tahoma"/>
            <family val="2"/>
          </rPr>
          <t>George:</t>
        </r>
        <r>
          <rPr>
            <sz val="9"/>
            <color indexed="81"/>
            <rFont val="Tahoma"/>
            <family val="2"/>
          </rPr>
          <t xml:space="preserve">
I'm doing the highest cost per unit so it may be lower if it is decided to buy in bulk.</t>
        </r>
      </text>
    </comment>
  </commentList>
</comments>
</file>

<file path=xl/sharedStrings.xml><?xml version="1.0" encoding="utf-8"?>
<sst xmlns="http://schemas.openxmlformats.org/spreadsheetml/2006/main" count="85" uniqueCount="82">
  <si>
    <t>Reference</t>
  </si>
  <si>
    <t>Qty</t>
  </si>
  <si>
    <t>Value</t>
  </si>
  <si>
    <t>10uF</t>
  </si>
  <si>
    <t>C5,C7,C11,C12,C13,C14</t>
  </si>
  <si>
    <t>100nF</t>
  </si>
  <si>
    <t>D1,D3</t>
  </si>
  <si>
    <t>D2</t>
  </si>
  <si>
    <t>LED</t>
  </si>
  <si>
    <t>J2</t>
  </si>
  <si>
    <t>UART_Header</t>
  </si>
  <si>
    <t>J3</t>
  </si>
  <si>
    <t>Barrel_Jack</t>
  </si>
  <si>
    <t>J5</t>
  </si>
  <si>
    <t>Light</t>
  </si>
  <si>
    <t>Q2</t>
  </si>
  <si>
    <t>AO3400A</t>
  </si>
  <si>
    <t>R1,R2</t>
  </si>
  <si>
    <t>5.1k</t>
  </si>
  <si>
    <t>R3,R5,R6,R9,R14</t>
  </si>
  <si>
    <t>10k</t>
  </si>
  <si>
    <t>R4</t>
  </si>
  <si>
    <t>1k</t>
  </si>
  <si>
    <t>R7,R8,R12,R13</t>
  </si>
  <si>
    <t>2.2k</t>
  </si>
  <si>
    <t>R11</t>
  </si>
  <si>
    <t>U1</t>
  </si>
  <si>
    <t>ESP32-S3-WROOM-1</t>
  </si>
  <si>
    <t>U2</t>
  </si>
  <si>
    <t>U3</t>
  </si>
  <si>
    <t>BNO086</t>
  </si>
  <si>
    <t>Manufacturer Part #</t>
  </si>
  <si>
    <t>Link</t>
  </si>
  <si>
    <t>C6,C8</t>
  </si>
  <si>
    <t>Notes</t>
  </si>
  <si>
    <t>RC0805FR-075K1L</t>
  </si>
  <si>
    <t>https://www.digikey.com/en/products/detail/yageo/RC0805FR-075K1L/727988</t>
  </si>
  <si>
    <t>CRGCQ0805F220R</t>
  </si>
  <si>
    <t>https://www.digikey.com/en/products/detail/te-connectivity-passive-product/CRGCQ0805F220R/8576343</t>
  </si>
  <si>
    <t>RMCF0805FT1K00</t>
  </si>
  <si>
    <t>https://www.digikey.com/en/products/detail/stackpole-electronics-inc/RMCF0805FT1K00/1760090</t>
  </si>
  <si>
    <t>CRG0805F2K2</t>
  </si>
  <si>
    <t>https://www.digikey.com/en/products/detail/te-connectivity-passive-product/CRG0805F2K2/2135487</t>
  </si>
  <si>
    <t>RMCF0805FT10K0</t>
  </si>
  <si>
    <t>https://www.digikey.com/en/products/detail/stackpole-electronics-inc/RMCF0805FT10K0/1760676</t>
  </si>
  <si>
    <t>https://www.digikey.com/en/products/detail/alpha-omega-semiconductor-inc/AO3400A/1855772</t>
  </si>
  <si>
    <t>C1, C2</t>
  </si>
  <si>
    <t>TLV75733PDBVR</t>
  </si>
  <si>
    <t>1uF</t>
  </si>
  <si>
    <t>TL3342F260QG</t>
  </si>
  <si>
    <t>SW1, SW2</t>
  </si>
  <si>
    <t>Enable, Boot</t>
  </si>
  <si>
    <t>https://www.digikey.com/en/products/detail/e-switch/TL3342F260QG/4029402</t>
  </si>
  <si>
    <t>CRS08(TE85L,Q,M)</t>
  </si>
  <si>
    <t>https://www.digikey.com/en/products/detail/toshiba-semiconductor-and-storage/CRS08-TE85L-Q-M/871563?s=N4IgjCBcoGwJxVAYygMwIYBsDOBTANCAPZQDaIALAAxwDMdIAuoQA4AuUIAymwE4CWAOwDmIAL6EArAHYqiECkgYcBEADdBUPgFdVJSOWpVa0gBxNWHSNz5DREkHDAV5i5XkL7ykyVQoRCCh9JBECKOCpJECkAJlMwAPAwOGlfCxB2Th4BEXFCGKppCGgFNCwPYjIQWioAAgA1aOqYhqbaSVbAusbAjp6QX06QGG70zOsAVUF%2BNgB5VABZXHRsbV5cPJAYmJhi5DKVTyraEdqAW3ragAFasAA6DoBBMasQAGEibRZMXAATKZm8yWKzWGwcAFoYq4tLxdEcDAMmGJkUA</t>
  </si>
  <si>
    <t>QBLP631-R5-2897</t>
  </si>
  <si>
    <t>https://www.digikey.com/en/products/detail/qt-brightek-qtb/QBLP631-R5-2897/23026393</t>
  </si>
  <si>
    <t>USB_C_Receptacle_USB2.0_16P</t>
  </si>
  <si>
    <t>USB4085-GF-A</t>
  </si>
  <si>
    <t>https://www.digikey.com/en/products/detail/gct/USB4085-GF-A/9859662?s=N4IgTCBcDaIOIGEAqACAqgZQEIBYAMAHAKwC0cAYiQIIgC6AvkA</t>
  </si>
  <si>
    <t>https://www.digikey.com/en/products/detail/w%C3%BCrth-elektronik/61300411121/4846827</t>
  </si>
  <si>
    <t>691137710002</t>
  </si>
  <si>
    <t>https://www.digikey.com/en/products/detail/w%C3%BCrth-elektronik/691137710002/6644051</t>
  </si>
  <si>
    <t>PJ-063AH</t>
  </si>
  <si>
    <t>https://www.digikey.com/en/products/detail/same-sky-formerly-cui-devices/PJ-063AH/2161208</t>
  </si>
  <si>
    <t>ESP32-S3-WROOM-1-N8R2</t>
  </si>
  <si>
    <t>https://www.digikey.com/en/products/detail/espressif-systems/ESP32-S3-WROOM-1-N8R2/15200058?s=N4IgjCBcpgLATFUBjKAzAhgGwM4FMAaEAeygG0QB2eAZgA47KQBdIgBwBcoQBlDgJwCWAOwDmIAL5EAnADYArEhCpImXIRLkQ9eQAZZuluy6ReAkeKkhpdWEpVr8RUpArzYdedIisQnbnxCYpJEALSI0MpQAgCuGi5uLBJWERR4OGw08KE4NKEA6gBKAPLFALKhPhJAA</t>
  </si>
  <si>
    <t>https://www.digikey.com/en/products/detail/texas-instruments/TLV75733PDBVR/9343364</t>
  </si>
  <si>
    <t>https://www.digikey.com/en/products/detail/ceva-technologies-inc/BNO086/14114190</t>
  </si>
  <si>
    <t>Total Price</t>
  </si>
  <si>
    <t>Price Per Unit</t>
  </si>
  <si>
    <t>Total Per Board</t>
  </si>
  <si>
    <t>CL21B105KAFNNNE</t>
  </si>
  <si>
    <t>https://www.digikey.com/en/products/detail/samsung-electro-mechanics/CL21B105KAFNNNE/3886724</t>
  </si>
  <si>
    <t>CL21B104KBCNNNC</t>
  </si>
  <si>
    <t>https://www.digikey.com/en/products/detail/samsung-electro-mechanics/CL21B104KBCNNNC/3886661</t>
  </si>
  <si>
    <t>https://www.digikey.com/en/products/detail/samsung-electro-mechanics/CL21A106KOQNNNE/3886754</t>
  </si>
  <si>
    <t>CL21A106KOQNNNE</t>
  </si>
  <si>
    <t>Maximum Price</t>
  </si>
  <si>
    <t>Ratings:
Resistors, Capacitors: 
   • Vmax &gt;= 10V
   • Imax &gt;= 1A
   • Tolerance &lt;= +-10%</t>
  </si>
  <si>
    <t>J4</t>
  </si>
  <si>
    <t>Schottky_Diode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</si>
</sst>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18" fillId="0" borderId="20" xfId="42" applyBorder="1" applyAlignment="1">
      <alignment wrapText="1"/>
    </xf>
    <xf numFmtId="0" fontId="18" fillId="0" borderId="21" xfId="42" applyBorder="1" applyAlignment="1">
      <alignment wrapText="1"/>
    </xf>
    <xf numFmtId="7" fontId="19" fillId="0" borderId="20" xfId="42" applyNumberFormat="1" applyFont="1" applyBorder="1" applyAlignment="1">
      <alignment wrapText="1"/>
    </xf>
    <xf numFmtId="7" fontId="19" fillId="0" borderId="21" xfId="42" applyNumberFormat="1" applyFont="1" applyBorder="1" applyAlignment="1">
      <alignment wrapText="1"/>
    </xf>
    <xf numFmtId="7" fontId="0" fillId="0" borderId="20" xfId="42" applyNumberFormat="1" applyFont="1" applyBorder="1" applyAlignment="1">
      <alignment wrapText="1"/>
    </xf>
    <xf numFmtId="7" fontId="0" fillId="0" borderId="21" xfId="42" applyNumberFormat="1" applyFont="1" applyBorder="1" applyAlignment="1">
      <alignment wrapText="1"/>
    </xf>
    <xf numFmtId="49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7" fontId="0" fillId="0" borderId="10" xfId="0" applyNumberFormat="1" applyBorder="1"/>
    <xf numFmtId="0" fontId="0" fillId="0" borderId="10" xfId="0" applyBorder="1" applyAlignment="1">
      <alignment horizontal="left" vertical="top" wrapText="1"/>
    </xf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e-sky-formerly-cui-devices/PJ-063AH/2161208" TargetMode="External"/><Relationship Id="rId13" Type="http://schemas.openxmlformats.org/officeDocument/2006/relationships/hyperlink" Target="https://www.digikey.com/en/products/detail/samsung-electro-mechanics/CL21B105KAFNNNE/3886724" TargetMode="External"/><Relationship Id="rId18" Type="http://schemas.openxmlformats.org/officeDocument/2006/relationships/hyperlink" Target="https://www.digikey.com/en/products/detail/te-connectivity-passive-product/CRG0805F2K2/2135487" TargetMode="External"/><Relationship Id="rId3" Type="http://schemas.openxmlformats.org/officeDocument/2006/relationships/hyperlink" Target="https://www.digikey.com/en/products/detail/toshiba-semiconductor-and-storage/CRS08-TE85L-Q-M/871563?s=N4IgjCBcoGwJxVAYygMwIYBsDOBTANCAPZQDaIALAAxwDMdIAuoQA4AuUIAymwE4CWAOwDmIAL6EArAHYqiECkgYcBEADdBUPgFdVJSOWpVa0gBxNWHSNz5DREkHDAV5i5XkL7ykyVQoRCCh9JBECKOCpJECkAJlMwAPAwOGlfCxB2Th4BEXFCGKppCGgFNCwPYjIQWioAAgA1aOqYhqbaSVbAusbAjp6QX06QGG70zOsAVUF%2BNgB5VABZXHRsbV5cPJAYmJhi5DKVTyraEdqAW3ragAFasAA6DoBBMasQAGEibRZMXAATKZm8yWKzWGwcAFoYq4tLxdEcDAMmGJkUA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https://www.digikey.com/en/products/detail/w%C3%BCrth-elektronik/691137710002/6644051" TargetMode="External"/><Relationship Id="rId12" Type="http://schemas.openxmlformats.org/officeDocument/2006/relationships/hyperlink" Target="https://www.digikey.com/en/products/detail/samsung-electro-mechanics/CL21A106KOQNNNE/3886754" TargetMode="External"/><Relationship Id="rId17" Type="http://schemas.openxmlformats.org/officeDocument/2006/relationships/hyperlink" Target="https://www.digikey.com/en/products/detail/stackpole-electronics-inc/RMCF0805FT1K00/1760090" TargetMode="External"/><Relationship Id="rId2" Type="http://schemas.openxmlformats.org/officeDocument/2006/relationships/hyperlink" Target="https://www.digikey.com/en/products/detail/e-switch/TL3342F260QG/4029402" TargetMode="External"/><Relationship Id="rId16" Type="http://schemas.openxmlformats.org/officeDocument/2006/relationships/hyperlink" Target="https://www.digikey.com/en/products/detail/te-connectivity-passive-product/CRGCQ0805F220R/8576343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alpha-omega-semiconductor-inc/AO3400A/1855772" TargetMode="External"/><Relationship Id="rId6" Type="http://schemas.openxmlformats.org/officeDocument/2006/relationships/hyperlink" Target="https://www.digikey.com/en/products/detail/w%C3%BCrth-elektronik/61300411121/4846827" TargetMode="External"/><Relationship Id="rId11" Type="http://schemas.openxmlformats.org/officeDocument/2006/relationships/hyperlink" Target="https://www.digikey.com/en/products/detail/ceva-technologies-inc/BNO086/14114190" TargetMode="External"/><Relationship Id="rId5" Type="http://schemas.openxmlformats.org/officeDocument/2006/relationships/hyperlink" Target="https://www.digikey.com/en/products/detail/gct/USB4085-GF-A/9859662?s=N4IgTCBcDaIOIGEAqACAqgZQEIBYAMAHAKwC0cAYiQIIgC6AvkA" TargetMode="External"/><Relationship Id="rId15" Type="http://schemas.openxmlformats.org/officeDocument/2006/relationships/hyperlink" Target="https://www.digikey.com/en/products/detail/yageo/RC0805FR-075K1L/727988" TargetMode="External"/><Relationship Id="rId10" Type="http://schemas.openxmlformats.org/officeDocument/2006/relationships/hyperlink" Target="https://www.digikey.com/en/products/detail/texas-instruments/TLV75733PDBVR/9343364" TargetMode="External"/><Relationship Id="rId19" Type="http://schemas.openxmlformats.org/officeDocument/2006/relationships/hyperlink" Target="https://www.digikey.com/en/products/detail/stackpole-electronics-inc/RMCF0805FT10K0/1760676" TargetMode="External"/><Relationship Id="rId4" Type="http://schemas.openxmlformats.org/officeDocument/2006/relationships/hyperlink" Target="https://www.digikey.com/en/products/detail/qt-brightek-qtb/QBLP631-R5-2897/23026393" TargetMode="External"/><Relationship Id="rId9" Type="http://schemas.openxmlformats.org/officeDocument/2006/relationships/hyperlink" Target="https://www.digikey.com/en/products/detail/espressif-systems/ESP32-S3-WROOM-1-N8R2/15200058?s=N4IgjCBcpgLATFUBjKAzAhgGwM4FMAaEAeygG0QB2eAZgA47KQBdIgBwBcoQBlDgJwCWAOwDmIAL5EAnADYArEhCpImXIRLkQ9eQAZZuluy6ReAkeKkhpdWEpVr8RUpArzYdedIisQnbnxCYpJEALSI0MpQAgCuGi5uLBJWERR4OGw08KE4NKEA6gBKAPLFALKhPhJAA" TargetMode="External"/><Relationship Id="rId14" Type="http://schemas.openxmlformats.org/officeDocument/2006/relationships/hyperlink" Target="https://www.digikey.com/en/products/detail/samsung-electro-mechanics/CL21B104KBCNNNC/3886661" TargetMode="Externa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D61E-8A41-6646-9D5A-E2AE8EAB4DC9}">
  <dimension ref="B2:I33"/>
  <sheetViews>
    <sheetView tabSelected="1" zoomScaleNormal="100" workbookViewId="0">
      <selection activeCell="L13" sqref="L13"/>
    </sheetView>
  </sheetViews>
  <sheetFormatPr defaultColWidth="11" defaultRowHeight="15.75" x14ac:dyDescent="0.25"/>
  <cols>
    <col min="1" max="1" width="6.75" customWidth="1"/>
    <col min="2" max="2" width="20.375" bestFit="1" customWidth="1"/>
    <col min="3" max="3" width="9.75" customWidth="1"/>
    <col min="4" max="4" width="28.5" customWidth="1"/>
    <col min="5" max="5" width="23.125" bestFit="1" customWidth="1"/>
    <col min="6" max="6" width="46.125" customWidth="1"/>
    <col min="7" max="7" width="13.75" customWidth="1"/>
    <col min="8" max="8" width="10" bestFit="1" customWidth="1"/>
  </cols>
  <sheetData>
    <row r="2" spans="2:9" ht="47.25" customHeight="1" x14ac:dyDescent="0.25">
      <c r="B2" s="20" t="s">
        <v>79</v>
      </c>
      <c r="C2" s="20"/>
      <c r="D2" s="20"/>
      <c r="E2" s="20"/>
    </row>
    <row r="3" spans="2:9" x14ac:dyDescent="0.25">
      <c r="B3" s="20"/>
      <c r="C3" s="20"/>
      <c r="D3" s="20"/>
      <c r="E3" s="20"/>
    </row>
    <row r="4" spans="2:9" x14ac:dyDescent="0.25">
      <c r="B4" s="20"/>
      <c r="C4" s="20"/>
      <c r="D4" s="20"/>
      <c r="E4" s="20"/>
    </row>
    <row r="5" spans="2:9" x14ac:dyDescent="0.25">
      <c r="B5" s="20"/>
      <c r="C5" s="20"/>
      <c r="D5" s="20"/>
      <c r="E5" s="20"/>
    </row>
    <row r="6" spans="2:9" x14ac:dyDescent="0.25">
      <c r="B6" s="18"/>
      <c r="C6" s="18"/>
      <c r="D6" s="18"/>
      <c r="E6" s="18"/>
    </row>
    <row r="7" spans="2:9" x14ac:dyDescent="0.25">
      <c r="B7" s="18"/>
      <c r="C7" s="18"/>
      <c r="D7" s="18"/>
      <c r="E7" s="18"/>
    </row>
    <row r="8" spans="2:9" ht="26.25" x14ac:dyDescent="0.4">
      <c r="D8" s="21" t="s">
        <v>78</v>
      </c>
      <c r="E8" s="21"/>
      <c r="F8" s="21"/>
    </row>
    <row r="9" spans="2:9" ht="16.5" thickBot="1" x14ac:dyDescent="0.3"/>
    <row r="10" spans="2:9" x14ac:dyDescent="0.25">
      <c r="B10" s="1" t="s">
        <v>0</v>
      </c>
      <c r="C10" s="2" t="s">
        <v>1</v>
      </c>
      <c r="D10" s="2" t="s">
        <v>2</v>
      </c>
      <c r="E10" s="2" t="s">
        <v>31</v>
      </c>
      <c r="F10" s="3" t="s">
        <v>32</v>
      </c>
      <c r="G10" s="3" t="s">
        <v>70</v>
      </c>
      <c r="H10" s="3" t="s">
        <v>69</v>
      </c>
      <c r="I10" s="4" t="s">
        <v>34</v>
      </c>
    </row>
    <row r="11" spans="2:9" ht="31.5" x14ac:dyDescent="0.25">
      <c r="B11" s="5" t="s">
        <v>4</v>
      </c>
      <c r="C11" s="6">
        <v>6</v>
      </c>
      <c r="D11" s="6" t="s">
        <v>5</v>
      </c>
      <c r="E11" s="6" t="s">
        <v>74</v>
      </c>
      <c r="F11" s="11" t="s">
        <v>75</v>
      </c>
      <c r="G11" s="15">
        <v>0.1</v>
      </c>
      <c r="H11" s="13">
        <f t="shared" ref="H11" si="0">G11*C11</f>
        <v>0.60000000000000009</v>
      </c>
      <c r="I11" s="7"/>
    </row>
    <row r="12" spans="2:9" ht="31.5" x14ac:dyDescent="0.25">
      <c r="B12" s="5" t="s">
        <v>46</v>
      </c>
      <c r="C12" s="6">
        <v>2</v>
      </c>
      <c r="D12" s="6" t="s">
        <v>48</v>
      </c>
      <c r="E12" s="6" t="s">
        <v>72</v>
      </c>
      <c r="F12" s="11" t="s">
        <v>73</v>
      </c>
      <c r="G12" s="15">
        <v>0.1</v>
      </c>
      <c r="H12" s="13">
        <f>G12*C12</f>
        <v>0.2</v>
      </c>
      <c r="I12" s="7"/>
    </row>
    <row r="13" spans="2:9" ht="31.5" x14ac:dyDescent="0.25">
      <c r="B13" s="5" t="s">
        <v>33</v>
      </c>
      <c r="C13" s="6">
        <v>2</v>
      </c>
      <c r="D13" s="6" t="s">
        <v>3</v>
      </c>
      <c r="E13" s="6" t="s">
        <v>77</v>
      </c>
      <c r="F13" s="11" t="s">
        <v>76</v>
      </c>
      <c r="G13" s="15">
        <v>0.1</v>
      </c>
      <c r="H13" s="13">
        <f t="shared" ref="H13" si="1">G13*C13</f>
        <v>0.2</v>
      </c>
      <c r="I13" s="7"/>
    </row>
    <row r="14" spans="2:9" ht="173.25" x14ac:dyDescent="0.25">
      <c r="B14" s="5" t="s">
        <v>6</v>
      </c>
      <c r="C14" s="6">
        <v>2</v>
      </c>
      <c r="D14" s="6" t="s">
        <v>81</v>
      </c>
      <c r="E14" s="6" t="s">
        <v>53</v>
      </c>
      <c r="F14" s="11" t="s">
        <v>54</v>
      </c>
      <c r="G14" s="15">
        <v>0.7</v>
      </c>
      <c r="H14" s="13">
        <f>G14*C14</f>
        <v>1.4</v>
      </c>
      <c r="I14" s="7"/>
    </row>
    <row r="15" spans="2:9" ht="31.5" x14ac:dyDescent="0.25">
      <c r="B15" s="5" t="s">
        <v>7</v>
      </c>
      <c r="C15" s="6">
        <v>1</v>
      </c>
      <c r="D15" s="6" t="s">
        <v>8</v>
      </c>
      <c r="E15" s="6" t="s">
        <v>55</v>
      </c>
      <c r="F15" s="11" t="s">
        <v>56</v>
      </c>
      <c r="G15" s="15">
        <v>0.23</v>
      </c>
      <c r="H15" s="13">
        <f>G15*C15</f>
        <v>0.23</v>
      </c>
      <c r="I15" s="7"/>
    </row>
    <row r="16" spans="2:9" ht="63" x14ac:dyDescent="0.25">
      <c r="B16" s="5" t="s">
        <v>80</v>
      </c>
      <c r="C16" s="6">
        <v>1</v>
      </c>
      <c r="D16" s="6" t="s">
        <v>57</v>
      </c>
      <c r="E16" s="6" t="s">
        <v>58</v>
      </c>
      <c r="F16" s="11" t="s">
        <v>59</v>
      </c>
      <c r="G16" s="15">
        <v>0.91</v>
      </c>
      <c r="H16" s="13">
        <f t="shared" ref="H16:H28" si="2">G16*C16</f>
        <v>0.91</v>
      </c>
      <c r="I16" s="7"/>
    </row>
    <row r="17" spans="2:9" ht="31.5" x14ac:dyDescent="0.25">
      <c r="B17" s="5" t="s">
        <v>9</v>
      </c>
      <c r="C17" s="6">
        <v>1</v>
      </c>
      <c r="D17" s="6" t="s">
        <v>10</v>
      </c>
      <c r="E17" s="6">
        <v>61300411121</v>
      </c>
      <c r="F17" s="11" t="s">
        <v>60</v>
      </c>
      <c r="G17" s="15">
        <v>0.19</v>
      </c>
      <c r="H17" s="13">
        <f t="shared" si="2"/>
        <v>0.19</v>
      </c>
      <c r="I17" s="7"/>
    </row>
    <row r="18" spans="2:9" ht="31.5" x14ac:dyDescent="0.25">
      <c r="B18" s="5" t="s">
        <v>11</v>
      </c>
      <c r="C18" s="6">
        <v>1</v>
      </c>
      <c r="D18" s="6" t="s">
        <v>12</v>
      </c>
      <c r="E18" s="6" t="s">
        <v>63</v>
      </c>
      <c r="F18" s="11" t="s">
        <v>64</v>
      </c>
      <c r="G18" s="15">
        <v>1.49</v>
      </c>
      <c r="H18" s="13">
        <f t="shared" si="2"/>
        <v>1.49</v>
      </c>
      <c r="I18" s="7"/>
    </row>
    <row r="19" spans="2:9" ht="31.5" x14ac:dyDescent="0.25">
      <c r="B19" s="5" t="s">
        <v>13</v>
      </c>
      <c r="C19" s="6">
        <v>1</v>
      </c>
      <c r="D19" s="6" t="s">
        <v>14</v>
      </c>
      <c r="E19" s="17" t="s">
        <v>61</v>
      </c>
      <c r="F19" s="11" t="s">
        <v>62</v>
      </c>
      <c r="G19" s="15">
        <v>0.41</v>
      </c>
      <c r="H19" s="13">
        <f t="shared" si="2"/>
        <v>0.41</v>
      </c>
      <c r="I19" s="7"/>
    </row>
    <row r="20" spans="2:9" ht="31.5" x14ac:dyDescent="0.25">
      <c r="B20" s="5" t="s">
        <v>15</v>
      </c>
      <c r="C20" s="6">
        <v>1</v>
      </c>
      <c r="D20" s="6" t="s">
        <v>16</v>
      </c>
      <c r="E20" s="6" t="s">
        <v>16</v>
      </c>
      <c r="F20" s="11" t="s">
        <v>45</v>
      </c>
      <c r="G20" s="15">
        <v>0.52</v>
      </c>
      <c r="H20" s="13">
        <f t="shared" si="2"/>
        <v>0.52</v>
      </c>
      <c r="I20" s="7"/>
    </row>
    <row r="21" spans="2:9" ht="47.25" x14ac:dyDescent="0.25">
      <c r="B21" s="5" t="s">
        <v>25</v>
      </c>
      <c r="C21" s="6">
        <v>1</v>
      </c>
      <c r="D21" s="6">
        <v>220</v>
      </c>
      <c r="E21" s="6" t="s">
        <v>37</v>
      </c>
      <c r="F21" s="11" t="s">
        <v>38</v>
      </c>
      <c r="G21" s="15">
        <v>0.1</v>
      </c>
      <c r="H21" s="13">
        <f>G21*C21</f>
        <v>0.1</v>
      </c>
      <c r="I21" s="7"/>
    </row>
    <row r="22" spans="2:9" ht="31.5" x14ac:dyDescent="0.25">
      <c r="B22" s="5" t="s">
        <v>21</v>
      </c>
      <c r="C22" s="6">
        <v>1</v>
      </c>
      <c r="D22" s="6" t="s">
        <v>22</v>
      </c>
      <c r="E22" s="6" t="s">
        <v>39</v>
      </c>
      <c r="F22" s="11" t="s">
        <v>40</v>
      </c>
      <c r="G22" s="15">
        <v>0.1</v>
      </c>
      <c r="H22" s="13">
        <f>G22*C22</f>
        <v>0.1</v>
      </c>
      <c r="I22" s="7"/>
    </row>
    <row r="23" spans="2:9" ht="31.5" x14ac:dyDescent="0.25">
      <c r="B23" s="5" t="s">
        <v>23</v>
      </c>
      <c r="C23" s="6">
        <v>4</v>
      </c>
      <c r="D23" s="6" t="s">
        <v>24</v>
      </c>
      <c r="E23" s="6" t="s">
        <v>41</v>
      </c>
      <c r="F23" s="11" t="s">
        <v>42</v>
      </c>
      <c r="G23" s="15">
        <v>0.1</v>
      </c>
      <c r="H23" s="13">
        <f>G23*C23</f>
        <v>0.4</v>
      </c>
      <c r="I23" s="7"/>
    </row>
    <row r="24" spans="2:9" ht="31.5" x14ac:dyDescent="0.25">
      <c r="B24" s="5" t="s">
        <v>17</v>
      </c>
      <c r="C24" s="6">
        <v>2</v>
      </c>
      <c r="D24" s="6" t="s">
        <v>18</v>
      </c>
      <c r="E24" s="6" t="s">
        <v>35</v>
      </c>
      <c r="F24" s="11" t="s">
        <v>36</v>
      </c>
      <c r="G24" s="15">
        <v>0.1</v>
      </c>
      <c r="H24" s="13">
        <f>G24*C24</f>
        <v>0.2</v>
      </c>
      <c r="I24" s="7"/>
    </row>
    <row r="25" spans="2:9" ht="31.5" x14ac:dyDescent="0.25">
      <c r="B25" s="5" t="s">
        <v>19</v>
      </c>
      <c r="C25" s="6">
        <v>5</v>
      </c>
      <c r="D25" s="6" t="s">
        <v>20</v>
      </c>
      <c r="E25" s="6" t="s">
        <v>43</v>
      </c>
      <c r="F25" s="11" t="s">
        <v>44</v>
      </c>
      <c r="G25" s="15">
        <v>0.1</v>
      </c>
      <c r="H25" s="13">
        <f>G25*C25</f>
        <v>0.5</v>
      </c>
      <c r="I25" s="7"/>
    </row>
    <row r="26" spans="2:9" ht="31.5" x14ac:dyDescent="0.25">
      <c r="B26" s="5" t="s">
        <v>50</v>
      </c>
      <c r="C26" s="6">
        <v>2</v>
      </c>
      <c r="D26" s="6" t="s">
        <v>51</v>
      </c>
      <c r="E26" s="6" t="s">
        <v>49</v>
      </c>
      <c r="F26" s="11" t="s">
        <v>52</v>
      </c>
      <c r="G26" s="15">
        <v>0.59</v>
      </c>
      <c r="H26" s="13">
        <f t="shared" si="2"/>
        <v>1.18</v>
      </c>
      <c r="I26" s="7"/>
    </row>
    <row r="27" spans="2:9" ht="126" x14ac:dyDescent="0.25">
      <c r="B27" s="5" t="s">
        <v>26</v>
      </c>
      <c r="C27" s="6">
        <v>1</v>
      </c>
      <c r="D27" s="6" t="s">
        <v>27</v>
      </c>
      <c r="E27" s="6" t="s">
        <v>65</v>
      </c>
      <c r="F27" s="11" t="s">
        <v>66</v>
      </c>
      <c r="G27" s="15">
        <v>5.88</v>
      </c>
      <c r="H27" s="13">
        <f t="shared" si="2"/>
        <v>5.88</v>
      </c>
      <c r="I27" s="7"/>
    </row>
    <row r="28" spans="2:9" ht="31.5" x14ac:dyDescent="0.25">
      <c r="B28" s="5" t="s">
        <v>28</v>
      </c>
      <c r="C28" s="6">
        <v>1</v>
      </c>
      <c r="D28" s="6" t="s">
        <v>47</v>
      </c>
      <c r="E28" s="6" t="s">
        <v>47</v>
      </c>
      <c r="F28" s="11" t="s">
        <v>67</v>
      </c>
      <c r="G28" s="15">
        <v>0.34</v>
      </c>
      <c r="H28" s="13">
        <f t="shared" si="2"/>
        <v>0.34</v>
      </c>
      <c r="I28" s="7"/>
    </row>
    <row r="29" spans="2:9" ht="32.25" thickBot="1" x14ac:dyDescent="0.3">
      <c r="B29" s="8" t="s">
        <v>29</v>
      </c>
      <c r="C29" s="9">
        <v>1</v>
      </c>
      <c r="D29" s="9" t="s">
        <v>30</v>
      </c>
      <c r="E29" s="9" t="s">
        <v>30</v>
      </c>
      <c r="F29" s="12" t="s">
        <v>68</v>
      </c>
      <c r="G29" s="16">
        <v>13.93</v>
      </c>
      <c r="H29" s="14">
        <f>G29*C29</f>
        <v>13.93</v>
      </c>
      <c r="I29" s="10"/>
    </row>
    <row r="33" spans="6:8" ht="26.25" x14ac:dyDescent="0.4">
      <c r="F33" s="22" t="s">
        <v>71</v>
      </c>
      <c r="G33" s="22"/>
      <c r="H33" s="19">
        <f>SUM(H11:H29)</f>
        <v>28.78</v>
      </c>
    </row>
  </sheetData>
  <mergeCells count="3">
    <mergeCell ref="B2:E5"/>
    <mergeCell ref="D8:F8"/>
    <mergeCell ref="F33:G33"/>
  </mergeCells>
  <hyperlinks>
    <hyperlink ref="F20" r:id="rId1" xr:uid="{91FC7FC0-C192-2F4A-82CF-0FD28D70D440}"/>
    <hyperlink ref="F26" r:id="rId2" xr:uid="{3C9AB0B8-62AF-4F87-B3D1-873CD675C787}"/>
    <hyperlink ref="F14" r:id="rId3" display="https://www.digikey.com/en/products/detail/toshiba-semiconductor-and-storage/CRS08-TE85L-Q-M/871563?s=N4IgjCBcoGwJxVAYygMwIYBsDOBTANCAPZQDaIALAAxwDMdIAuoQA4AuUIAymwE4CWAOwDmIAL6EArAHYqiECkgYcBEADdBUPgFdVJSOWpVa0gBxNWHSNz5DREkHDAV5i5XkL7ykyVQoRCCh9JBECKOCpJECkAJlMwAPAwOGlfCxB2Th4BEXFCGKppCGgFNCwPYjIQWioAAgA1aOqYhqbaSVbAusbAjp6QX06QGG70zOsAVUF%2BNgB5VABZXHRsbV5cPJAYmJhi5DKVTyraEdqAW3ragAFasAA6DoBBMasQAGEibRZMXAATKZm8yWKzWGwcAFoYq4tLxdEcDAMmGJkUA" xr:uid="{8F52F645-C15D-475D-A267-4C6E7D315F38}"/>
    <hyperlink ref="F15" r:id="rId4" xr:uid="{311B3AB0-3265-41D5-9DC9-F4701ABE5C46}"/>
    <hyperlink ref="F16" r:id="rId5" xr:uid="{0CADED76-C55B-491D-B56D-7B9C2E215846}"/>
    <hyperlink ref="F17" r:id="rId6" xr:uid="{1C87D9BC-E94A-4598-B0E9-B3B8EB790AE8}"/>
    <hyperlink ref="F19" r:id="rId7" xr:uid="{50829CBF-7D09-4245-A34F-BEC84C379753}"/>
    <hyperlink ref="F18" r:id="rId8" xr:uid="{11C72523-FD00-4FB3-BE9D-E75886251EA5}"/>
    <hyperlink ref="F27" r:id="rId9" display="https://www.digikey.com/en/products/detail/espressif-systems/ESP32-S3-WROOM-1-N8R2/15200058?s=N4IgjCBcpgLATFUBjKAzAhgGwM4FMAaEAeygG0QB2eAZgA47KQBdIgBwBcoQBlDgJwCWAOwDmIAL5EAnADYArEhCpImXIRLkQ9eQAZZuluy6ReAkeKkhpdWEpVr8RUpArzYdedIisQnbnxCYpJEALSI0MpQAgCuGi5uLBJWERR4OGw08KE4NKEA6gBKAPLFALKhPhJAA" xr:uid="{EE4D866C-5F9C-4298-A67E-DDE6B25EE229}"/>
    <hyperlink ref="F28" r:id="rId10" xr:uid="{41BFA31B-E2BB-47BF-A00F-F73F3C52D952}"/>
    <hyperlink ref="F29" r:id="rId11" xr:uid="{B57C1A14-D5E2-493D-B573-5A2C10E0FA37}"/>
    <hyperlink ref="F13" r:id="rId12" xr:uid="{DAF0E7CF-0B00-472D-AD7F-083EDC4A3C11}"/>
    <hyperlink ref="F12" r:id="rId13" xr:uid="{5037AFDF-5497-4CCA-9114-4D0481773CBA}"/>
    <hyperlink ref="F11" r:id="rId14" xr:uid="{F66DC830-E623-4FF0-B1A4-A9DDF6642F7D}"/>
    <hyperlink ref="F24" r:id="rId15" xr:uid="{DB02A26D-A2F0-4DBD-ACF0-BF87BEB7D264}"/>
    <hyperlink ref="F21" r:id="rId16" xr:uid="{3B3F9571-6F5C-47AA-90ED-896C511E55F3}"/>
    <hyperlink ref="F22" r:id="rId17" xr:uid="{E95100A1-7BF1-40F0-BDEC-1F16D937F2C7}"/>
    <hyperlink ref="F23" r:id="rId18" xr:uid="{42C9434C-B343-4B2A-80F3-106ED6DA912B}"/>
    <hyperlink ref="F25" r:id="rId19" xr:uid="{8DCCBA24-FD10-45CE-87F0-8AAA09E69458}"/>
  </hyperlinks>
  <pageMargins left="0.75" right="0.75" top="1" bottom="1" header="0.5" footer="0.5"/>
  <pageSetup orientation="portrait" r:id="rId20"/>
  <legacy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ESP_IMU_Board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Trupiano</cp:lastModifiedBy>
  <dcterms:created xsi:type="dcterms:W3CDTF">2026-04-30T06:23:30Z</dcterms:created>
  <dcterms:modified xsi:type="dcterms:W3CDTF">2026-05-01T02:10:36Z</dcterms:modified>
</cp:coreProperties>
</file>